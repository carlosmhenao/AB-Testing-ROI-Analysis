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202300"/>
  <xr:revisionPtr revIDLastSave="0" documentId="8_{D6292BAC-7CA9-CF40-800E-590679FA26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E5" i="1"/>
  <c r="E4" i="1"/>
  <c r="B8" i="1"/>
  <c r="B9" i="1"/>
  <c r="B10" i="1"/>
</calcChain>
</file>

<file path=xl/sharedStrings.xml><?xml version="1.0" encoding="utf-8"?>
<sst xmlns="http://schemas.openxmlformats.org/spreadsheetml/2006/main" count="13" uniqueCount="14">
  <si>
    <t>Group</t>
  </si>
  <si>
    <t>Visitors (n)</t>
  </si>
  <si>
    <t>Conversions (x)</t>
  </si>
  <si>
    <t>Spend(USD)</t>
  </si>
  <si>
    <t>Control</t>
  </si>
  <si>
    <t>Test</t>
  </si>
  <si>
    <t xml:space="preserve"> Conversion Rate</t>
  </si>
  <si>
    <t>Pooled Probability</t>
  </si>
  <si>
    <t>Standard Error</t>
  </si>
  <si>
    <t>Z-Score</t>
  </si>
  <si>
    <t>P-Value</t>
  </si>
  <si>
    <t xml:space="preserve"> A/B TESTING RESULT: CAMPAIGN ROI ANALYSIS</t>
  </si>
  <si>
    <t>STATISTICALLY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</si>
</sst>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(* #,##0_);_(* \(#,##0\);_(* &quot;-&quot;??_);_(@_)"/>
    <numFmt numFmtId="167" formatCode="_([$$-409]* #,##0_);_([$$-409]* \(#,##0\);_([$$-409]* &quot;-&quot;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1" tint="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9F9F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0" fontId="4" fillId="3" borderId="0" xfId="0" applyNumberFormat="1" applyFont="1" applyFill="1"/>
    <xf numFmtId="10" fontId="2" fillId="4" borderId="0" xfId="0" applyNumberFormat="1" applyFont="1" applyFill="1"/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C375-26A9-CF42-97BC-F9B38C987105}">
  <dimension ref="A1:E11"/>
  <sheetViews>
    <sheetView showGridLines="0" tabSelected="1" zoomScaleNormal="150" zoomScaleSheetLayoutView="100" workbookViewId="0">
      <selection activeCell="F11" sqref="F11"/>
    </sheetView>
  </sheetViews>
  <sheetFormatPr defaultRowHeight="15" x14ac:dyDescent="0.2"/>
  <cols>
    <col min="1" max="1" width="15.19921875" bestFit="1" customWidth="1"/>
    <col min="2" max="2" width="12.77734375" bestFit="1" customWidth="1"/>
    <col min="3" max="3" width="23.5390625" bestFit="1" customWidth="1"/>
    <col min="4" max="4" width="10.89453125" bestFit="1" customWidth="1"/>
    <col min="5" max="5" width="14.125" bestFit="1" customWidth="1"/>
  </cols>
  <sheetData>
    <row r="1" spans="1:5" ht="21" x14ac:dyDescent="0.3">
      <c r="A1" s="1" t="s">
        <v>11</v>
      </c>
      <c r="B1" s="1"/>
      <c r="C1" s="1"/>
      <c r="D1" s="1"/>
      <c r="E1" s="1"/>
    </row>
    <row r="3" spans="1: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6</v>
      </c>
    </row>
    <row r="4" spans="1:5" x14ac:dyDescent="0.2">
      <c r="A4" t="s">
        <v>4</v>
      </c>
      <c r="B4" s="3">
        <v>154303</v>
      </c>
      <c r="C4" s="3">
        <v>15161</v>
      </c>
      <c r="D4" s="4">
        <v>66818</v>
      </c>
      <c r="E4" s="5">
        <f>C4/B4</f>
        <v>9.8254732571628547E-2</v>
      </c>
    </row>
    <row r="5" spans="1:5" x14ac:dyDescent="0.2">
      <c r="A5" t="s">
        <v>5</v>
      </c>
      <c r="B5" s="3">
        <v>180970</v>
      </c>
      <c r="C5" s="3">
        <v>15637</v>
      </c>
      <c r="D5" s="4">
        <v>76892</v>
      </c>
      <c r="E5" s="6">
        <f>C5/B5</f>
        <v>8.6406586727081833E-2</v>
      </c>
    </row>
    <row r="8" spans="1:5" x14ac:dyDescent="0.2">
      <c r="A8" t="s">
        <v>7</v>
      </c>
      <c r="B8">
        <f>(C4+C5)/(B4+B5)</f>
        <v>9.1859469745550634E-2</v>
      </c>
    </row>
    <row r="9" spans="1:5" x14ac:dyDescent="0.2">
      <c r="A9" t="s">
        <v>8</v>
      </c>
      <c r="B9">
        <f>SQRT(B8*(1-B8)*((1/B4)+(1/B5)))</f>
        <v>1.0008000273204283E-3</v>
      </c>
    </row>
    <row r="10" spans="1:5" x14ac:dyDescent="0.2">
      <c r="A10" t="s">
        <v>9</v>
      </c>
      <c r="B10">
        <f>(E5-E4)/B9</f>
        <v>-11.8386745814439</v>
      </c>
    </row>
    <row r="11" spans="1:5" x14ac:dyDescent="0.2">
      <c r="A11" t="s">
        <v>10</v>
      </c>
      <c r="B11">
        <f>_xlfn.NORM.S.DIST(B10,TRUE())</f>
        <v>1.2315737814213373E-32</v>
      </c>
      <c r="C11" s="7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Moreno</dc:creator>
  <dcterms:created xsi:type="dcterms:W3CDTF">2026-03-13T18:24:54Z</dcterms:created>
</cp:coreProperties>
</file>